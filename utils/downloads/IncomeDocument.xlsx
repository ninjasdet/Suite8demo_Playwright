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th\PlaywrightNew\tests\download\"/>
    </mc:Choice>
  </mc:AlternateContent>
  <xr:revisionPtr revIDLastSave="0" documentId="11_95D60010C9B3CAB4D520FD29873588A376E0BA2C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zMfx8e2lGMnT/7ES4oAgYQH23wLldY+hSPaJ6Cc7Kc="/>
    </ext>
  </extLst>
</workbook>
</file>

<file path=xl/calcChain.xml><?xml version="1.0" encoding="utf-8"?>
<calcChain xmlns="http://schemas.openxmlformats.org/spreadsheetml/2006/main">
  <c r="B21" i="1" l="1"/>
  <c r="B20" i="1"/>
  <c r="B19" i="1"/>
  <c r="B17" i="1"/>
  <c r="B16" i="1"/>
  <c r="B15" i="1"/>
  <c r="B14" i="1"/>
  <c r="B22" i="1" s="1"/>
  <c r="B11" i="1"/>
  <c r="B10" i="1"/>
  <c r="B6" i="1"/>
  <c r="B7" i="1" s="1"/>
  <c r="B8" i="1" s="1"/>
  <c r="B12" i="1" s="1"/>
  <c r="B23" i="1" s="1"/>
  <c r="B24" i="1" s="1"/>
  <c r="B5" i="1"/>
</calcChain>
</file>

<file path=xl/sharedStrings.xml><?xml version="1.0" encoding="utf-8"?>
<sst xmlns="http://schemas.openxmlformats.org/spreadsheetml/2006/main" count="25" uniqueCount="25">
  <si>
    <t>Craig's landscaping income statement</t>
  </si>
  <si>
    <t>December</t>
  </si>
  <si>
    <t>Revenue</t>
  </si>
  <si>
    <t>Total</t>
  </si>
  <si>
    <t xml:space="preserve">   Sales</t>
  </si>
  <si>
    <t xml:space="preserve">      Sales of Product Revenue</t>
  </si>
  <si>
    <t xml:space="preserve">      Service Revenue</t>
  </si>
  <si>
    <t xml:space="preserve">   Total Revenue</t>
  </si>
  <si>
    <t>Total Income</t>
  </si>
  <si>
    <t>Cost of Goods Sold</t>
  </si>
  <si>
    <t xml:space="preserve">   Cost of goods sold</t>
  </si>
  <si>
    <t>Total Cost of Goods Sold</t>
  </si>
  <si>
    <t>Gross Profit</t>
  </si>
  <si>
    <t>Expenses</t>
  </si>
  <si>
    <t xml:space="preserve">   Bank fees &amp; service charges</t>
  </si>
  <si>
    <t xml:space="preserve">   Depreciation expense</t>
  </si>
  <si>
    <t xml:space="preserve">   Interest expense</t>
  </si>
  <si>
    <t xml:space="preserve">   Office expenses</t>
  </si>
  <si>
    <t xml:space="preserve">   Payroll expenses</t>
  </si>
  <si>
    <t xml:space="preserve">      Employer Payroll taxes</t>
  </si>
  <si>
    <t xml:space="preserve">      Wages</t>
  </si>
  <si>
    <t xml:space="preserve">   Total Payroll expenses</t>
  </si>
  <si>
    <t>Total Expenses</t>
  </si>
  <si>
    <t>Net Operating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</si>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</sst>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7" x14ac:knownFonts="1">
    <font>
      <sz val="11"/>
      <color rgb="FF000000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3"/>
      <color rgb="FF000000"/>
      <name val="Calibri"/>
    </font>
    <font>
      <b/>
      <sz val="8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/>
    </xf>
    <xf numFmtId="165" fontId="4" fillId="0" borderId="3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7"/>
  <sheetViews>
    <sheetView tabSelected="1" workbookViewId="0">
      <selection sqref="A1:B1"/>
    </sheetView>
  </sheetViews>
  <sheetFormatPr defaultColWidth="14.42578125" defaultRowHeight="15" customHeight="1" x14ac:dyDescent="0.25"/>
  <cols>
    <col min="1" max="1" width="26.42578125" customWidth="1"/>
    <col min="2" max="2" width="17.140625" customWidth="1"/>
    <col min="3" max="26" width="8.7109375" customWidth="1"/>
  </cols>
  <sheetData>
    <row r="1" spans="1:2" ht="18.75" x14ac:dyDescent="0.3">
      <c r="A1" s="7" t="s">
        <v>0</v>
      </c>
      <c r="B1" s="8"/>
    </row>
    <row r="2" spans="1:2" ht="17.25" x14ac:dyDescent="0.3">
      <c r="A2" s="9" t="s">
        <v>1</v>
      </c>
      <c r="B2" s="10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3"/>
    </row>
    <row r="5" spans="1:2" x14ac:dyDescent="0.25">
      <c r="A5" s="4" t="s">
        <v>5</v>
      </c>
      <c r="B5" s="5">
        <f>1020</f>
        <v>1020</v>
      </c>
    </row>
    <row r="6" spans="1:2" x14ac:dyDescent="0.25">
      <c r="A6" s="4" t="s">
        <v>6</v>
      </c>
      <c r="B6" s="5">
        <f>12522.64</f>
        <v>12522.64</v>
      </c>
    </row>
    <row r="7" spans="1:2" x14ac:dyDescent="0.25">
      <c r="A7" s="1" t="s">
        <v>7</v>
      </c>
      <c r="B7" s="6">
        <f>((B4)+(B5))+(B6)</f>
        <v>13542.64</v>
      </c>
    </row>
    <row r="8" spans="1:2" x14ac:dyDescent="0.25">
      <c r="A8" s="1" t="s">
        <v>8</v>
      </c>
      <c r="B8" s="6">
        <f>B7</f>
        <v>13542.64</v>
      </c>
    </row>
    <row r="9" spans="1:2" x14ac:dyDescent="0.25">
      <c r="A9" s="4" t="s">
        <v>9</v>
      </c>
      <c r="B9" s="3"/>
    </row>
    <row r="10" spans="1:2" x14ac:dyDescent="0.25">
      <c r="A10" s="4" t="s">
        <v>10</v>
      </c>
      <c r="B10" s="5">
        <f>510</f>
        <v>510</v>
      </c>
    </row>
    <row r="11" spans="1:2" x14ac:dyDescent="0.25">
      <c r="A11" s="1" t="s">
        <v>11</v>
      </c>
      <c r="B11" s="6">
        <f>B10</f>
        <v>510</v>
      </c>
    </row>
    <row r="12" spans="1:2" x14ac:dyDescent="0.25">
      <c r="A12" s="1" t="s">
        <v>12</v>
      </c>
      <c r="B12" s="6">
        <f>(B8)-(B11)</f>
        <v>13032.64</v>
      </c>
    </row>
    <row r="13" spans="1:2" x14ac:dyDescent="0.25">
      <c r="A13" s="1" t="s">
        <v>13</v>
      </c>
      <c r="B13" s="3"/>
    </row>
    <row r="14" spans="1:2" x14ac:dyDescent="0.25">
      <c r="A14" s="4" t="s">
        <v>14</v>
      </c>
      <c r="B14" s="5">
        <f>0</f>
        <v>0</v>
      </c>
    </row>
    <row r="15" spans="1:2" x14ac:dyDescent="0.25">
      <c r="A15" s="4" t="s">
        <v>15</v>
      </c>
      <c r="B15" s="5">
        <f>3219.09</f>
        <v>3219.09</v>
      </c>
    </row>
    <row r="16" spans="1:2" x14ac:dyDescent="0.25">
      <c r="A16" s="4" t="s">
        <v>16</v>
      </c>
      <c r="B16" s="5">
        <f>15</f>
        <v>15</v>
      </c>
    </row>
    <row r="17" spans="1:2" x14ac:dyDescent="0.25">
      <c r="A17" s="4" t="s">
        <v>17</v>
      </c>
      <c r="B17" s="5">
        <f>10</f>
        <v>10</v>
      </c>
    </row>
    <row r="18" spans="1:2" ht="15.75" customHeight="1" x14ac:dyDescent="0.25">
      <c r="A18" s="4" t="s">
        <v>18</v>
      </c>
      <c r="B18" s="3"/>
    </row>
    <row r="19" spans="1:2" ht="15.75" customHeight="1" x14ac:dyDescent="0.25">
      <c r="A19" s="4" t="s">
        <v>19</v>
      </c>
      <c r="B19" s="5">
        <f>136</f>
        <v>136</v>
      </c>
    </row>
    <row r="20" spans="1:2" ht="15.75" customHeight="1" x14ac:dyDescent="0.25">
      <c r="A20" s="4" t="s">
        <v>20</v>
      </c>
      <c r="B20" s="5">
        <f>1814</f>
        <v>1814</v>
      </c>
    </row>
    <row r="21" spans="1:2" ht="15.75" customHeight="1" x14ac:dyDescent="0.25">
      <c r="A21" s="1" t="s">
        <v>21</v>
      </c>
      <c r="B21" s="6">
        <f>((B18)+(B19))+(B20)</f>
        <v>1950</v>
      </c>
    </row>
    <row r="22" spans="1:2" ht="15.75" customHeight="1" x14ac:dyDescent="0.25">
      <c r="A22" s="1" t="s">
        <v>22</v>
      </c>
      <c r="B22" s="6">
        <f>((((B14)+(B15))+(B16))+(B17))+(B21)</f>
        <v>5194.09</v>
      </c>
    </row>
    <row r="23" spans="1:2" ht="15.75" customHeight="1" x14ac:dyDescent="0.25">
      <c r="A23" s="1" t="s">
        <v>23</v>
      </c>
      <c r="B23" s="6">
        <f>(B12)-(B22)</f>
        <v>7838.5499999999993</v>
      </c>
    </row>
    <row r="24" spans="1:2" ht="15.75" customHeight="1" x14ac:dyDescent="0.25">
      <c r="A24" s="1" t="s">
        <v>24</v>
      </c>
      <c r="B24" s="6">
        <f>(B23)+(0)</f>
        <v>7838.5499999999993</v>
      </c>
    </row>
    <row r="25" spans="1:2" ht="15.75" customHeight="1" x14ac:dyDescent="0.25">
      <c r="A25" s="1"/>
      <c r="B25" s="3"/>
    </row>
    <row r="26" spans="1:2" ht="15.75" customHeight="1" x14ac:dyDescent="0.25"/>
    <row r="27" spans="1:2" ht="15.75" customHeight="1" x14ac:dyDescent="0.25"/>
    <row r="28" spans="1:2" ht="15.75" customHeight="1" x14ac:dyDescent="0.25">
      <c r="A28" s="11"/>
      <c r="B28" s="10"/>
    </row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">
    <mergeCell ref="A1:B1"/>
    <mergeCell ref="A2:B2"/>
    <mergeCell ref="A28:B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Krithiga M</cp:lastModifiedBy>
  <dcterms:created xsi:type="dcterms:W3CDTF">2023-06-15T22:29:18Z</dcterms:created>
  <dcterms:modified xsi:type="dcterms:W3CDTF">2026-05-10T01:19:56Z</dcterms:modified>
</cp:coreProperties>
</file>